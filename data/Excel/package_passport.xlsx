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930" yWindow="0" windowWidth="22635" windowHeight="9675"/>
  </bookViews>
  <sheets>
    <sheet name="Паспорт" sheetId="1" r:id="rId1"/>
  </sheets>
  <definedNames>
    <definedName name="multirow">Паспорт!#REF!</definedName>
    <definedName name="multirow2">Паспорт!#REF!</definedName>
    <definedName name="S1_Наименование_радионуклида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" i="1" l="1"/>
  <c r="P35" i="1" l="1"/>
  <c r="M37" i="1" l="1"/>
  <c r="M25" i="1" l="1"/>
  <c r="Q32" i="1" l="1"/>
  <c r="H25" i="1" l="1"/>
  <c r="P32" i="1" l="1"/>
  <c r="P33" i="1"/>
  <c r="R27" i="1" l="1"/>
  <c r="O41" i="1" s="1"/>
  <c r="U9" i="1" l="1"/>
  <c r="P34" i="1" l="1"/>
  <c r="M36" i="1"/>
  <c r="M35" i="1"/>
  <c r="M34" i="1"/>
  <c r="L34" i="1"/>
  <c r="L35" i="1"/>
  <c r="L36" i="1"/>
  <c r="L37" i="1"/>
  <c r="L38" i="1" l="1"/>
  <c r="M38" i="1"/>
  <c r="L39" i="1"/>
  <c r="L40" i="1"/>
  <c r="M40" i="1"/>
  <c r="L41" i="1"/>
</calcChain>
</file>

<file path=xl/sharedStrings.xml><?xml version="1.0" encoding="utf-8"?>
<sst xmlns="http://schemas.openxmlformats.org/spreadsheetml/2006/main" count="113" uniqueCount="103">
  <si>
    <t xml:space="preserve">на упаковку твердых радиоактивных отходов </t>
  </si>
  <si>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</si>
  <si>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</si>
  <si>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</si>
  <si>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</si>
  <si>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</si>
  <si>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</si>
  <si>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</si>
  <si>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</si>
  <si>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</si>
  <si>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</si>
  <si>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</si>
  <si>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</si>
  <si>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</si>
  <si>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</si>
  <si>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</si>
  <si>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</si>
  <si>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</si>
  <si>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</si>
  <si>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</si>
  <si>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</si>
  <si>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</si>
  <si>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Масса, кг (объем, куб. м)</t>
  </si>
  <si>
    <t>Способ размещения отходов</t>
  </si>
  <si>
    <t>Количество и характеристики первичных упаковок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</si>
  <si>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</si>
  <si>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</si>
  <si>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</si>
  <si>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</si>
  <si>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</si>
  <si>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</si>
  <si>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</si>
  <si>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Тип и номер</t>
  </si>
  <si>
    <t>Количество, шт.</t>
  </si>
  <si>
    <t>Масса с отходами, кг</t>
  </si>
  <si>
    <t>навал</t>
  </si>
  <si>
    <t>—</t>
  </si>
  <si>
    <t>альфа-</t>
  </si>
  <si>
    <t>Отсутствует</t>
  </si>
  <si>
    <t>бета/гамма-</t>
  </si>
  <si>
    <t>Индивидуальный номер упаковки</t>
  </si>
  <si>
    <t>Физико-химическая форма РАО, 
тип матричного материала</t>
  </si>
  <si>
    <t>Морфологический (химический) состав отходов</t>
  </si>
  <si>
    <t>Горючесть</t>
  </si>
  <si>
    <t>Радионуклидный состав</t>
  </si>
  <si>
    <t>Удельная активность, кБк/кг</t>
  </si>
  <si>
    <t>Суммарные 
удельные активности, кБк/кг</t>
  </si>
  <si>
    <t>Общая активность, Бк</t>
  </si>
  <si>
    <t>Содержание ядерно-опасных делящихся нуклидов, кБк/кг, мг/кг</t>
  </si>
  <si>
    <t>Самовозгорающиеся и легковоспламеняющиеся вещества - отсутствуют.</t>
  </si>
  <si>
    <t>долгоживущие</t>
  </si>
  <si>
    <t>0</t>
  </si>
  <si>
    <t>Отсутствуют</t>
  </si>
  <si>
    <t>трансурановые</t>
  </si>
  <si>
    <t>альфа-изл. (за искл. т/уран.)</t>
  </si>
  <si>
    <t>бета/гамма- изл.</t>
  </si>
  <si>
    <t>тритий</t>
  </si>
  <si>
    <t>Ответственный за сдачу РАО</t>
  </si>
  <si>
    <t>(наименование организации)</t>
  </si>
  <si>
    <t>(Должность, Фамилия И.О. уполномоченного лица)</t>
  </si>
  <si>
    <t>(подпись уполномоченного лица)</t>
  </si>
  <si>
    <t>Ответственный за прием РАО</t>
  </si>
  <si>
    <t>Служебная информация!!! НЕ УДАЛЯТЬ!!!</t>
  </si>
  <si>
    <t>параметры рад.контроля приведены на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</si>
  <si>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</si>
  <si>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</si>
  <si>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</si>
  <si>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</si>
  <si>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</si>
  <si>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Таблица 2</t>
  </si>
  <si>
    <t>{Vмм,м3}</t>
  </si>
  <si>
    <t>активность приведена на</t>
  </si>
  <si>
    <t>отсутствует</t>
  </si>
  <si>
    <t>15.10.2019</t>
  </si>
  <si>
    <t xml:space="preserve">4 класс
</t>
  </si>
  <si>
    <t>теплоизоляционные материалы неорганические (63), изделия из полимеров (73)</t>
  </si>
  <si>
    <t>1,50</t>
  </si>
  <si>
    <t>14.10.2019</t>
  </si>
  <si>
    <t>Co-60</t>
  </si>
  <si>
    <t>6,44E+04</t>
  </si>
  <si>
    <t>0,00E+00</t>
  </si>
  <si>
    <t>Mn-54</t>
  </si>
  <si>
    <t>1,20E+04</t>
  </si>
  <si>
    <t>7,64E+04</t>
  </si>
  <si>
    <t>1,15E+08</t>
  </si>
  <si>
    <r>
      <t>Уровень нефиксированного загрязнения, частиц/(мин*см</t>
    </r>
    <r>
      <rPr>
        <vertAlign val="superscript"/>
        <sz val="8"/>
        <rFont val="Arial Narrow"/>
        <family val="2"/>
        <charset val="204"/>
      </rPr>
      <t>2</t>
    </r>
    <r>
      <rPr>
        <sz val="8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</si>
  <si>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8"/>
        <rFont val="Arial Narrow"/>
        <family val="2"/>
        <charset val="204"/>
      </rPr>
      <t>3</t>
    </r>
    <r>
      <rPr>
        <sz val="8"/>
        <rFont val="Arial Narrow"/>
        <family val="2"/>
        <charset val="204"/>
      </rPr>
      <t>, Вт/упаковку</t>
    </r>
  </si>
  <si>
    <t>Упаковки РАО</t>
  </si>
  <si>
    <r>
      <t>Объем, м</t>
    </r>
    <r>
      <rPr>
        <vertAlign val="superscript"/>
        <sz val="8"/>
        <rFont val="Arial Narrow"/>
        <family val="2"/>
        <charset val="204"/>
      </rPr>
      <t>3</t>
    </r>
  </si>
  <si>
    <t>Характеристика радиоактивного содержимого упаковки РАО</t>
  </si>
  <si>
    <t>1. Удельная активность радионуклидов в упаковке РАО определена методом гамма-спектрометрии.</t>
  </si>
  <si>
    <t>Cs-137</t>
  </si>
  <si>
    <t>Мощность дозы излучения, мкЗв/ч на расстоянии от поверхности, м</t>
  </si>
  <si>
    <t>КРАД-1,36</t>
  </si>
  <si>
    <t>Твердые.Свободная жидкость - отсутствует.
Взрывоопасные вещества - отсутствуют.
Вещества, реагирующие с водой с выделением самовоспламеняющихся или воспламеняющихся газов - отсутствуют.
Вещества, способные при взаимодействии с воздухом или водой выделять токсичные газы, пары и возгоны - отсутствуют.</t>
  </si>
  <si>
    <t>Металлические "грязные" слитки, кондиционированные фрагменты металла.
Коррозионно-активные вещества - отсутствуют.
Комплексообразующие вещества - отсутствуют. 
Химические токсичные  вещества - отсутствуют.
Инфицирующие (патогенные) вещества - отсутствуют.</t>
  </si>
  <si>
    <t>№ 6604</t>
  </si>
  <si>
    <t>Номер корректировки</t>
  </si>
  <si>
    <t>(класс РАО)</t>
  </si>
  <si>
    <t>(название РАО)</t>
  </si>
  <si>
    <t>Тепловыделение Вт/м³, Вт/упаковку</t>
  </si>
  <si>
    <t>код РАО</t>
  </si>
  <si>
    <t>Класс РАО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</si>
</sst>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\(0.00\)"/>
    <numFmt numFmtId="165" formatCode="0.000"/>
    <numFmt numFmtId="166" formatCode="0.0"/>
    <numFmt numFmtId="167" formatCode="0.0000E+00"/>
    <numFmt numFmtId="168" formatCode="0.000E+00"/>
  </numFmts>
  <fonts count="33" x14ac:knownFonts="1">
    <font>
      <sz val="11"/>
      <color theme="1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11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b/>
      <sz val="8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b/>
      <sz val="10"/>
      <name val="Arial Narrow"/>
      <family val="2"/>
      <charset val="204"/>
    </font>
    <font>
      <sz val="8"/>
      <name val="Arial Narrow"/>
      <family val="2"/>
      <charset val="204"/>
    </font>
    <font>
      <sz val="11"/>
      <name val="Arial Narrow"/>
      <family val="2"/>
      <charset val="204"/>
    </font>
    <font>
      <b/>
      <sz val="11"/>
      <name val="Arial Narrow"/>
      <family val="2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6"/>
      <name val="Arial Narrow"/>
      <family val="2"/>
      <charset val="204"/>
    </font>
    <font>
      <sz val="8"/>
      <name val="Calibri"/>
      <family val="2"/>
      <charset val="204"/>
      <scheme val="minor"/>
    </font>
    <font>
      <vertAlign val="superscript"/>
      <sz val="8"/>
      <name val="Arial Narrow"/>
      <family val="2"/>
      <charset val="204"/>
    </font>
    <font>
      <sz val="7"/>
      <name val="Arial Narrow"/>
      <family val="2"/>
      <charset val="204"/>
    </font>
    <font>
      <u/>
      <sz val="7"/>
      <name val="Arial Narrow"/>
      <family val="2"/>
      <charset val="204"/>
    </font>
    <font>
      <sz val="11"/>
      <color rgb="FFFF0000"/>
      <name val="Arial Narrow"/>
      <family val="2"/>
      <charset val="204"/>
    </font>
    <font>
      <sz val="11"/>
      <color rgb="FFFF0000"/>
      <name val="Calibri"/>
      <family val="2"/>
      <charset val="204"/>
      <scheme val="minor"/>
    </font>
    <font>
      <sz val="9"/>
      <color rgb="FFFF0000"/>
      <name val="Arial Narrow"/>
      <family val="2"/>
      <charset val="204"/>
    </font>
    <font>
      <sz val="8"/>
      <color rgb="FFFF0000"/>
      <name val="Arial Narrow"/>
      <family val="2"/>
      <charset val="204"/>
    </font>
    <font>
      <sz val="10"/>
      <color rgb="FFFF0000"/>
      <name val="Arial Narrow"/>
      <family val="2"/>
      <charset val="204"/>
    </font>
    <font>
      <sz val="7"/>
      <color rgb="FFFF0000"/>
      <name val="Arial Narrow"/>
      <family val="2"/>
      <charset val="204"/>
    </font>
    <font>
      <sz val="9"/>
      <color rgb="FFFF0000"/>
      <name val="Calibri"/>
      <family val="2"/>
      <charset val="204"/>
      <scheme val="minor"/>
    </font>
    <font>
      <sz val="11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47678"/>
      </left>
      <right style="thin">
        <color rgb="FF747678"/>
      </right>
      <top style="thin">
        <color rgb="FF747678"/>
      </top>
      <bottom style="thin">
        <color rgb="FF747678"/>
      </bottom>
      <diagonal/>
    </border>
  </borders>
  <cellStyleXfs count="2">
    <xf numFmtId="0" fontId="0" fillId="0" borderId="0"/>
    <xf numFmtId="3" fontId="32" fillId="2" borderId="16"/>
  </cellStyleXfs>
  <cellXfs count="211">
    <xf numFmtId="0" fontId="0" fillId="0" borderId="0" xfId="0"/>
    <xf numFmtId="0" fontId="1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3" fillId="0" borderId="0" xfId="0" applyFont="1" applyFill="1"/>
    <xf numFmtId="0" fontId="4" fillId="0" borderId="0" xfId="0" applyFont="1" applyFill="1"/>
    <xf numFmtId="0" fontId="2" fillId="0" borderId="0" xfId="0" applyFont="1" applyFill="1"/>
    <xf numFmtId="0" fontId="2" fillId="0" borderId="0" xfId="0" applyFont="1" applyFill="1" applyAlignment="1">
      <alignment wrapText="1"/>
    </xf>
    <xf numFmtId="0" fontId="4" fillId="0" borderId="0" xfId="0" applyFont="1" applyFill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2" fillId="0" borderId="0" xfId="0" applyFont="1" applyFill="1" applyAlignment="1">
      <alignment horizontal="left" vertical="top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Alignment="1">
      <alignment vertical="top"/>
    </xf>
    <xf numFmtId="0" fontId="10" fillId="0" borderId="0" xfId="0" applyFont="1" applyFill="1"/>
    <xf numFmtId="0" fontId="6" fillId="0" borderId="0" xfId="0" applyFont="1" applyFill="1" applyAlignment="1"/>
    <xf numFmtId="0" fontId="10" fillId="0" borderId="0" xfId="0" applyFont="1" applyFill="1" applyAlignment="1">
      <alignment wrapText="1"/>
    </xf>
    <xf numFmtId="0" fontId="3" fillId="0" borderId="0" xfId="0" applyFont="1" applyFill="1" applyAlignment="1"/>
    <xf numFmtId="0" fontId="5" fillId="0" borderId="0" xfId="0" applyFont="1" applyFill="1" applyBorder="1" applyAlignment="1">
      <alignment horizontal="right"/>
    </xf>
    <xf numFmtId="0" fontId="13" fillId="0" borderId="0" xfId="0" applyFont="1" applyFill="1" applyAlignment="1"/>
    <xf numFmtId="0" fontId="14" fillId="0" borderId="0" xfId="0" applyFont="1" applyFill="1" applyAlignment="1">
      <alignment horizontal="center"/>
    </xf>
    <xf numFmtId="0" fontId="15" fillId="0" borderId="0" xfId="0" applyFont="1" applyFill="1" applyAlignment="1">
      <alignment horizontal="left"/>
    </xf>
    <xf numFmtId="0" fontId="13" fillId="0" borderId="0" xfId="0" applyFont="1" applyFill="1" applyAlignment="1">
      <alignment horizontal="center" vertical="center"/>
    </xf>
    <xf numFmtId="0" fontId="16" fillId="0" borderId="0" xfId="0" applyFont="1" applyFill="1" applyAlignment="1"/>
    <xf numFmtId="0" fontId="17" fillId="0" borderId="0" xfId="0" applyFont="1" applyFill="1" applyAlignment="1">
      <alignment horizontal="right"/>
    </xf>
    <xf numFmtId="0" fontId="19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6" fillId="0" borderId="0" xfId="0" applyFont="1" applyFill="1" applyBorder="1" applyAlignment="1"/>
    <xf numFmtId="0" fontId="20" fillId="0" borderId="0" xfId="0" applyFont="1" applyFill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20" fillId="0" borderId="2" xfId="0" applyFont="1" applyFill="1" applyBorder="1" applyAlignment="1">
      <alignment horizontal="center"/>
    </xf>
    <xf numFmtId="0" fontId="20" fillId="0" borderId="0" xfId="0" applyFont="1" applyFill="1" applyAlignment="1">
      <alignment horizontal="left"/>
    </xf>
    <xf numFmtId="0" fontId="5" fillId="0" borderId="0" xfId="0" applyFont="1" applyFill="1" applyAlignment="1"/>
    <xf numFmtId="0" fontId="12" fillId="0" borderId="0" xfId="0" applyFont="1" applyFill="1" applyAlignment="1">
      <alignment horizontal="right"/>
    </xf>
    <xf numFmtId="0" fontId="20" fillId="0" borderId="0" xfId="0" applyFont="1" applyFill="1"/>
    <xf numFmtId="0" fontId="5" fillId="0" borderId="0" xfId="0" applyFont="1" applyFill="1" applyBorder="1" applyAlignment="1"/>
    <xf numFmtId="0" fontId="20" fillId="0" borderId="0" xfId="0" applyFont="1" applyFill="1" applyAlignment="1">
      <alignment vertical="top"/>
    </xf>
    <xf numFmtId="0" fontId="5" fillId="0" borderId="0" xfId="0" applyFont="1" applyFill="1" applyAlignment="1">
      <alignment horizontal="right"/>
    </xf>
    <xf numFmtId="0" fontId="5" fillId="0" borderId="0" xfId="0" applyFont="1" applyFill="1" applyBorder="1" applyAlignment="1">
      <alignment horizontal="left"/>
    </xf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 indent="1"/>
    </xf>
    <xf numFmtId="0" fontId="20" fillId="0" borderId="0" xfId="0" applyFont="1" applyFill="1" applyBorder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/>
    <xf numFmtId="0" fontId="5" fillId="0" borderId="0" xfId="0" applyFont="1" applyFill="1" applyBorder="1"/>
    <xf numFmtId="0" fontId="18" fillId="0" borderId="0" xfId="0" applyFont="1" applyFill="1" applyBorder="1" applyAlignment="1">
      <alignment horizontal="left" indent="1"/>
    </xf>
    <xf numFmtId="0" fontId="15" fillId="0" borderId="0" xfId="0" applyFont="1" applyFill="1"/>
    <xf numFmtId="0" fontId="15" fillId="0" borderId="0" xfId="0" applyFont="1" applyFill="1" applyBorder="1"/>
    <xf numFmtId="0" fontId="5" fillId="0" borderId="10" xfId="0" applyFont="1" applyFill="1" applyBorder="1" applyAlignment="1">
      <alignment vertical="center"/>
    </xf>
    <xf numFmtId="0" fontId="5" fillId="0" borderId="15" xfId="0" applyFont="1" applyFill="1" applyBorder="1" applyAlignment="1">
      <alignment vertical="center"/>
    </xf>
    <xf numFmtId="0" fontId="5" fillId="0" borderId="1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 vertical="top"/>
    </xf>
    <xf numFmtId="0" fontId="23" fillId="0" borderId="9" xfId="0" applyFont="1" applyFill="1" applyBorder="1" applyAlignment="1">
      <alignment horizontal="center" vertical="center" wrapText="1"/>
    </xf>
    <xf numFmtId="0" fontId="24" fillId="0" borderId="0" xfId="0" applyFont="1" applyFill="1"/>
    <xf numFmtId="0" fontId="23" fillId="0" borderId="0" xfId="0" applyFont="1" applyFill="1"/>
    <xf numFmtId="0" fontId="23" fillId="0" borderId="0" xfId="0" applyFont="1" applyFill="1" applyAlignment="1">
      <alignment wrapText="1"/>
    </xf>
    <xf numFmtId="0" fontId="5" fillId="0" borderId="0" xfId="0" applyFont="1" applyFill="1" applyAlignment="1">
      <alignment horizontal="left" vertical="top"/>
    </xf>
    <xf numFmtId="0" fontId="20" fillId="0" borderId="0" xfId="0" applyFont="1" applyFill="1" applyAlignment="1">
      <alignment horizontal="center" vertical="top"/>
    </xf>
    <xf numFmtId="0" fontId="11" fillId="0" borderId="0" xfId="0" applyFont="1" applyFill="1"/>
    <xf numFmtId="0" fontId="9" fillId="0" borderId="0" xfId="0" applyFont="1" applyFill="1" applyAlignment="1">
      <alignment horizontal="left"/>
    </xf>
    <xf numFmtId="0" fontId="9" fillId="0" borderId="0" xfId="0" applyFont="1" applyFill="1" applyAlignment="1"/>
    <xf numFmtId="0" fontId="18" fillId="0" borderId="0" xfId="0" applyFont="1" applyFill="1" applyBorder="1" applyAlignment="1">
      <alignment horizontal="left" wrapText="1" indent="1"/>
    </xf>
    <xf numFmtId="0" fontId="18" fillId="0" borderId="0" xfId="0" applyFont="1" applyFill="1" applyBorder="1" applyAlignment="1">
      <alignment horizontal="left" wrapText="1"/>
    </xf>
    <xf numFmtId="0" fontId="8" fillId="0" borderId="0" xfId="0" applyFont="1" applyFill="1"/>
    <xf numFmtId="3" fontId="9" fillId="0" borderId="0" xfId="0" applyNumberFormat="1" applyFont="1" applyFill="1" applyAlignment="1">
      <alignment horizontal="right"/>
    </xf>
    <xf numFmtId="2" fontId="9" fillId="0" borderId="0" xfId="0" applyNumberFormat="1" applyFont="1" applyFill="1" applyAlignment="1">
      <alignment horizontal="right"/>
    </xf>
    <xf numFmtId="2" fontId="9" fillId="0" borderId="0" xfId="0" applyNumberFormat="1" applyFont="1" applyFill="1" applyAlignment="1"/>
    <xf numFmtId="165" fontId="7" fillId="0" borderId="0" xfId="0" applyNumberFormat="1" applyFont="1" applyFill="1" applyAlignment="1">
      <alignment horizontal="right"/>
    </xf>
    <xf numFmtId="0" fontId="0" fillId="0" borderId="0" xfId="0" applyFill="1"/>
    <xf numFmtId="0" fontId="5" fillId="0" borderId="15" xfId="0" applyFont="1" applyFill="1" applyBorder="1" applyAlignment="1">
      <alignment horizontal="center" vertical="top" wrapText="1"/>
    </xf>
    <xf numFmtId="0" fontId="27" fillId="0" borderId="8" xfId="0" applyFont="1" applyFill="1" applyBorder="1" applyAlignment="1">
      <alignment horizontal="center" vertical="center" wrapText="1"/>
    </xf>
    <xf numFmtId="14" fontId="27" fillId="0" borderId="8" xfId="0" applyNumberFormat="1" applyFont="1" applyFill="1" applyBorder="1" applyAlignment="1">
      <alignment horizontal="center" vertical="center" wrapText="1"/>
    </xf>
    <xf numFmtId="166" fontId="27" fillId="0" borderId="8" xfId="0" applyNumberFormat="1" applyFont="1" applyFill="1" applyBorder="1" applyAlignment="1">
      <alignment horizontal="center" vertical="center" wrapText="1"/>
    </xf>
    <xf numFmtId="0" fontId="27" fillId="0" borderId="2" xfId="0" applyFont="1" applyFill="1" applyBorder="1" applyAlignment="1">
      <alignment horizontal="right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14" xfId="0" applyFont="1" applyFill="1" applyBorder="1" applyAlignment="1">
      <alignment vertical="center" wrapText="1"/>
    </xf>
    <xf numFmtId="164" fontId="27" fillId="0" borderId="14" xfId="0" applyNumberFormat="1" applyFont="1" applyFill="1" applyBorder="1" applyAlignment="1">
      <alignment horizontal="center" vertical="center" wrapText="1"/>
    </xf>
    <xf numFmtId="0" fontId="27" fillId="0" borderId="15" xfId="0" applyFont="1" applyFill="1" applyBorder="1" applyAlignment="1">
      <alignment vertical="center" wrapText="1"/>
    </xf>
    <xf numFmtId="0" fontId="27" fillId="0" borderId="1" xfId="0" applyFont="1" applyFill="1" applyBorder="1" applyAlignment="1">
      <alignment horizontal="right" vertical="center" wrapText="1"/>
    </xf>
    <xf numFmtId="0" fontId="27" fillId="0" borderId="11" xfId="0" applyFont="1" applyFill="1" applyBorder="1" applyAlignment="1">
      <alignment horizontal="center" vertical="center" wrapText="1"/>
    </xf>
    <xf numFmtId="0" fontId="27" fillId="0" borderId="4" xfId="0" applyFont="1" applyFill="1" applyBorder="1" applyAlignment="1">
      <alignment vertical="center"/>
    </xf>
    <xf numFmtId="0" fontId="27" fillId="0" borderId="3" xfId="0" applyFont="1" applyFill="1" applyBorder="1" applyAlignment="1">
      <alignment horizontal="right" vertical="center"/>
    </xf>
    <xf numFmtId="0" fontId="27" fillId="0" borderId="4" xfId="0" applyFont="1" applyFill="1" applyBorder="1" applyAlignment="1">
      <alignment horizontal="right" vertical="center"/>
    </xf>
    <xf numFmtId="14" fontId="27" fillId="0" borderId="5" xfId="0" applyNumberFormat="1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 wrapText="1"/>
    </xf>
    <xf numFmtId="167" fontId="27" fillId="0" borderId="12" xfId="0" applyNumberFormat="1" applyFont="1" applyFill="1" applyBorder="1" applyAlignment="1">
      <alignment horizontal="center" vertical="center"/>
    </xf>
    <xf numFmtId="0" fontId="27" fillId="0" borderId="2" xfId="0" applyNumberFormat="1" applyFont="1" applyFill="1" applyBorder="1" applyAlignment="1">
      <alignment horizontal="center" vertical="center"/>
    </xf>
    <xf numFmtId="0" fontId="27" fillId="0" borderId="14" xfId="0" applyFont="1" applyFill="1" applyBorder="1"/>
    <xf numFmtId="0" fontId="27" fillId="0" borderId="0" xfId="0" applyFont="1" applyFill="1"/>
    <xf numFmtId="0" fontId="27" fillId="0" borderId="0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vertical="top" wrapText="1"/>
    </xf>
    <xf numFmtId="0" fontId="27" fillId="0" borderId="13" xfId="0" applyFont="1" applyFill="1" applyBorder="1" applyAlignment="1">
      <alignment vertical="top" wrapText="1"/>
    </xf>
    <xf numFmtId="11" fontId="27" fillId="0" borderId="12" xfId="0" applyNumberFormat="1" applyFont="1" applyFill="1" applyBorder="1" applyAlignment="1">
      <alignment horizontal="center" vertical="center" wrapText="1"/>
    </xf>
    <xf numFmtId="167" fontId="28" fillId="0" borderId="0" xfId="0" applyNumberFormat="1" applyFont="1" applyFill="1" applyBorder="1" applyAlignment="1">
      <alignment horizontal="center" vertical="center"/>
    </xf>
    <xf numFmtId="0" fontId="27" fillId="0" borderId="12" xfId="0" applyFont="1" applyFill="1" applyBorder="1"/>
    <xf numFmtId="0" fontId="27" fillId="0" borderId="13" xfId="0" applyFont="1" applyFill="1" applyBorder="1"/>
    <xf numFmtId="0" fontId="27" fillId="0" borderId="0" xfId="0" applyNumberFormat="1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right"/>
    </xf>
    <xf numFmtId="0" fontId="27" fillId="0" borderId="0" xfId="0" applyFont="1" applyFill="1" applyBorder="1"/>
    <xf numFmtId="0" fontId="27" fillId="0" borderId="12" xfId="0" applyFont="1" applyFill="1" applyBorder="1" applyAlignment="1">
      <alignment vertical="top"/>
    </xf>
    <xf numFmtId="0" fontId="27" fillId="0" borderId="13" xfId="0" applyFont="1" applyFill="1" applyBorder="1" applyAlignment="1">
      <alignment vertical="top"/>
    </xf>
    <xf numFmtId="0" fontId="26" fillId="0" borderId="12" xfId="0" applyFont="1" applyFill="1" applyBorder="1" applyAlignment="1">
      <alignment horizontal="right" vertical="center"/>
    </xf>
    <xf numFmtId="0" fontId="26" fillId="0" borderId="0" xfId="0" applyFont="1" applyFill="1" applyBorder="1" applyAlignment="1">
      <alignment horizontal="right" vertical="center"/>
    </xf>
    <xf numFmtId="0" fontId="27" fillId="0" borderId="0" xfId="0" applyFont="1" applyFill="1" applyBorder="1" applyAlignment="1"/>
    <xf numFmtId="0" fontId="26" fillId="0" borderId="12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7" fillId="0" borderId="10" xfId="0" applyFont="1" applyFill="1" applyBorder="1" applyAlignment="1">
      <alignment horizontal="center" vertical="center" wrapText="1"/>
    </xf>
    <xf numFmtId="11" fontId="27" fillId="0" borderId="10" xfId="0" applyNumberFormat="1" applyFont="1" applyFill="1" applyBorder="1" applyAlignment="1">
      <alignment horizontal="center" vertical="center" wrapText="1"/>
    </xf>
    <xf numFmtId="0" fontId="26" fillId="0" borderId="10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0" xfId="0" applyFont="1" applyFill="1" applyBorder="1" applyAlignment="1">
      <alignment vertical="top" wrapText="1"/>
    </xf>
    <xf numFmtId="0" fontId="27" fillId="0" borderId="11" xfId="0" applyFont="1" applyFill="1" applyBorder="1" applyAlignment="1">
      <alignment vertical="top" wrapText="1"/>
    </xf>
    <xf numFmtId="0" fontId="27" fillId="0" borderId="10" xfId="0" applyFont="1" applyFill="1" applyBorder="1" applyAlignment="1">
      <alignment horizontal="center" vertical="center"/>
    </xf>
    <xf numFmtId="0" fontId="27" fillId="0" borderId="1" xfId="0" applyFont="1" applyFill="1" applyBorder="1"/>
    <xf numFmtId="11" fontId="27" fillId="0" borderId="1" xfId="0" applyNumberFormat="1" applyFont="1" applyFill="1" applyBorder="1" applyAlignment="1">
      <alignment horizontal="right" vertical="center"/>
    </xf>
    <xf numFmtId="14" fontId="27" fillId="0" borderId="1" xfId="0" applyNumberFormat="1" applyFont="1" applyFill="1" applyBorder="1" applyAlignment="1">
      <alignment horizontal="left" vertical="center"/>
    </xf>
    <xf numFmtId="0" fontId="26" fillId="0" borderId="1" xfId="0" applyFont="1" applyFill="1" applyBorder="1" applyAlignment="1">
      <alignment horizontal="center" vertical="center"/>
    </xf>
    <xf numFmtId="11" fontId="27" fillId="0" borderId="11" xfId="0" applyNumberFormat="1" applyFont="1" applyFill="1" applyBorder="1" applyAlignment="1">
      <alignment horizontal="center" vertical="top"/>
    </xf>
    <xf numFmtId="0" fontId="30" fillId="0" borderId="0" xfId="0" applyFont="1" applyFill="1" applyAlignment="1">
      <alignment wrapText="1"/>
    </xf>
    <xf numFmtId="0" fontId="15" fillId="0" borderId="9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0" fontId="15" fillId="0" borderId="5" xfId="0" applyFont="1" applyFill="1" applyBorder="1" applyAlignment="1">
      <alignment horizontal="center" vertical="center" wrapText="1"/>
    </xf>
    <xf numFmtId="0" fontId="15" fillId="0" borderId="8" xfId="0" applyFont="1" applyFill="1" applyBorder="1" applyAlignment="1">
      <alignment horizontal="center" vertical="center" wrapText="1"/>
    </xf>
    <xf numFmtId="0" fontId="27" fillId="0" borderId="8" xfId="0" applyFont="1" applyFill="1" applyBorder="1" applyAlignment="1">
      <alignment horizontal="center" vertical="top" wrapText="1"/>
    </xf>
    <xf numFmtId="0" fontId="27" fillId="0" borderId="14" xfId="0" applyFont="1" applyFill="1" applyBorder="1" applyAlignment="1">
      <alignment horizontal="center" vertical="top" wrapText="1"/>
    </xf>
    <xf numFmtId="0" fontId="27" fillId="0" borderId="15" xfId="0" applyFont="1" applyFill="1" applyBorder="1" applyAlignment="1">
      <alignment horizontal="center" vertical="top" wrapText="1"/>
    </xf>
    <xf numFmtId="168" fontId="27" fillId="0" borderId="9" xfId="0" applyNumberFormat="1" applyFont="1" applyFill="1" applyBorder="1" applyAlignment="1">
      <alignment horizontal="center" vertical="center"/>
    </xf>
    <xf numFmtId="168" fontId="25" fillId="0" borderId="9" xfId="0" applyNumberFormat="1" applyFont="1" applyFill="1" applyBorder="1" applyAlignment="1">
      <alignment horizontal="center"/>
    </xf>
    <xf numFmtId="0" fontId="27" fillId="0" borderId="12" xfId="0" applyFont="1" applyFill="1" applyBorder="1" applyAlignment="1">
      <alignment horizontal="center" vertical="top" wrapText="1"/>
    </xf>
    <xf numFmtId="0" fontId="27" fillId="0" borderId="13" xfId="0" applyFont="1" applyFill="1" applyBorder="1" applyAlignment="1">
      <alignment horizontal="center" vertical="top" wrapText="1"/>
    </xf>
    <xf numFmtId="0" fontId="27" fillId="0" borderId="12" xfId="0" applyFont="1" applyFill="1" applyBorder="1" applyAlignment="1">
      <alignment horizontal="right" vertical="center"/>
    </xf>
    <xf numFmtId="0" fontId="27" fillId="0" borderId="0" xfId="0" applyFont="1" applyFill="1" applyBorder="1" applyAlignment="1">
      <alignment horizontal="right" vertical="center"/>
    </xf>
    <xf numFmtId="0" fontId="15" fillId="0" borderId="9" xfId="0" applyFont="1" applyFill="1" applyBorder="1" applyAlignment="1">
      <alignment horizontal="center" vertical="center" wrapText="1"/>
    </xf>
    <xf numFmtId="0" fontId="16" fillId="0" borderId="9" xfId="0" applyFont="1" applyFill="1" applyBorder="1" applyAlignment="1">
      <alignment wrapText="1"/>
    </xf>
    <xf numFmtId="0" fontId="29" fillId="0" borderId="1" xfId="0" applyFont="1" applyFill="1" applyBorder="1" applyAlignment="1">
      <alignment horizontal="center" wrapText="1"/>
    </xf>
    <xf numFmtId="0" fontId="29" fillId="0" borderId="1" xfId="0" applyFont="1" applyFill="1" applyBorder="1" applyAlignment="1">
      <alignment horizontal="left" wrapText="1"/>
    </xf>
    <xf numFmtId="0" fontId="20" fillId="0" borderId="2" xfId="0" applyFont="1" applyFill="1" applyBorder="1" applyAlignment="1">
      <alignment horizontal="center" vertical="top"/>
    </xf>
    <xf numFmtId="0" fontId="5" fillId="0" borderId="1" xfId="0" applyFont="1" applyFill="1" applyBorder="1" applyAlignment="1">
      <alignment horizontal="center" vertical="top" wrapText="1"/>
    </xf>
    <xf numFmtId="0" fontId="27" fillId="0" borderId="0" xfId="0" applyFont="1" applyFill="1" applyBorder="1" applyAlignment="1">
      <alignment vertical="center"/>
    </xf>
    <xf numFmtId="0" fontId="27" fillId="0" borderId="12" xfId="0" quotePrefix="1" applyNumberFormat="1" applyFont="1" applyFill="1" applyBorder="1" applyAlignment="1">
      <alignment horizontal="center"/>
    </xf>
    <xf numFmtId="0" fontId="26" fillId="0" borderId="13" xfId="0" applyNumberFormat="1" applyFont="1" applyFill="1" applyBorder="1" applyAlignment="1">
      <alignment horizontal="center"/>
    </xf>
    <xf numFmtId="0" fontId="27" fillId="0" borderId="6" xfId="0" applyFont="1" applyFill="1" applyBorder="1" applyAlignment="1">
      <alignment horizontal="center" vertical="top" wrapText="1"/>
    </xf>
    <xf numFmtId="0" fontId="27" fillId="0" borderId="7" xfId="0" applyFont="1" applyFill="1" applyBorder="1" applyAlignment="1">
      <alignment horizontal="center" vertical="top" wrapText="1"/>
    </xf>
    <xf numFmtId="0" fontId="28" fillId="0" borderId="6" xfId="0" applyFont="1" applyFill="1" applyBorder="1" applyAlignment="1">
      <alignment horizontal="left" vertical="top" wrapText="1"/>
    </xf>
    <xf numFmtId="0" fontId="28" fillId="0" borderId="7" xfId="0" applyFont="1" applyFill="1" applyBorder="1" applyAlignment="1">
      <alignment horizontal="left" vertical="top" wrapText="1"/>
    </xf>
    <xf numFmtId="0" fontId="28" fillId="0" borderId="12" xfId="0" applyFont="1" applyFill="1" applyBorder="1" applyAlignment="1">
      <alignment horizontal="left" vertical="top" wrapText="1"/>
    </xf>
    <xf numFmtId="0" fontId="28" fillId="0" borderId="13" xfId="0" applyFont="1" applyFill="1" applyBorder="1" applyAlignment="1">
      <alignment horizontal="left" vertical="top" wrapText="1"/>
    </xf>
    <xf numFmtId="0" fontId="28" fillId="0" borderId="10" xfId="0" applyFont="1" applyFill="1" applyBorder="1" applyAlignment="1">
      <alignment horizontal="left" vertical="top" wrapText="1"/>
    </xf>
    <xf numFmtId="0" fontId="28" fillId="0" borderId="11" xfId="0" applyFont="1" applyFill="1" applyBorder="1" applyAlignment="1">
      <alignment horizontal="left" vertical="top" wrapText="1"/>
    </xf>
    <xf numFmtId="0" fontId="28" fillId="0" borderId="2" xfId="0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28" fillId="0" borderId="1" xfId="0" applyFont="1" applyFill="1" applyBorder="1" applyAlignment="1">
      <alignment horizontal="left" vertical="top" wrapText="1"/>
    </xf>
    <xf numFmtId="0" fontId="27" fillId="0" borderId="6" xfId="0" applyFont="1" applyFill="1" applyBorder="1" applyAlignment="1">
      <alignment horizontal="right" vertical="center"/>
    </xf>
    <xf numFmtId="0" fontId="27" fillId="0" borderId="2" xfId="0" applyFont="1" applyFill="1" applyBorder="1" applyAlignment="1">
      <alignment horizontal="right" vertical="center"/>
    </xf>
    <xf numFmtId="0" fontId="21" fillId="0" borderId="3" xfId="0" applyFont="1" applyFill="1" applyBorder="1" applyAlignment="1">
      <alignment vertical="center"/>
    </xf>
    <xf numFmtId="0" fontId="21" fillId="0" borderId="5" xfId="0" applyFont="1" applyFill="1" applyBorder="1" applyAlignment="1">
      <alignment vertical="center"/>
    </xf>
    <xf numFmtId="0" fontId="15" fillId="0" borderId="3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0" borderId="15" xfId="0" applyFont="1" applyFill="1" applyBorder="1" applyAlignment="1">
      <alignment horizontal="center" vertical="center" wrapText="1"/>
    </xf>
    <xf numFmtId="0" fontId="27" fillId="0" borderId="12" xfId="0" applyFont="1" applyFill="1" applyBorder="1" applyAlignment="1">
      <alignment horizontal="center" vertical="center" wrapText="1"/>
    </xf>
    <xf numFmtId="0" fontId="27" fillId="0" borderId="12" xfId="0" applyFont="1" applyFill="1" applyBorder="1" applyAlignment="1">
      <alignment vertical="center" wrapText="1"/>
    </xf>
    <xf numFmtId="0" fontId="4" fillId="0" borderId="8" xfId="0" applyFont="1" applyFill="1" applyBorder="1" applyAlignment="1">
      <alignment vertical="center" wrapText="1"/>
    </xf>
    <xf numFmtId="0" fontId="4" fillId="0" borderId="14" xfId="0" applyFont="1" applyFill="1" applyBorder="1" applyAlignment="1">
      <alignment vertical="center" wrapText="1"/>
    </xf>
    <xf numFmtId="0" fontId="4" fillId="0" borderId="15" xfId="0" applyFont="1" applyFill="1" applyBorder="1" applyAlignment="1">
      <alignment vertical="center"/>
    </xf>
    <xf numFmtId="0" fontId="27" fillId="0" borderId="3" xfId="0" applyFont="1" applyFill="1" applyBorder="1" applyAlignment="1">
      <alignment horizontal="center"/>
    </xf>
    <xf numFmtId="14" fontId="16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27" fillId="0" borderId="9" xfId="0" applyFont="1" applyFill="1" applyBorder="1" applyAlignment="1">
      <alignment horizontal="center"/>
    </xf>
    <xf numFmtId="0" fontId="20" fillId="0" borderId="2" xfId="0" applyFont="1" applyFill="1" applyBorder="1" applyAlignment="1">
      <alignment horizontal="center" vertical="top"/>
    </xf>
    <xf numFmtId="0" fontId="25" fillId="0" borderId="1" xfId="0" applyFont="1" applyFill="1" applyBorder="1" applyAlignment="1">
      <alignment horizontal="center" vertical="center"/>
    </xf>
    <xf numFmtId="0" fontId="26" fillId="0" borderId="1" xfId="0" applyFont="1" applyFill="1" applyBorder="1" applyAlignment="1"/>
    <xf numFmtId="14" fontId="25" fillId="0" borderId="1" xfId="0" applyNumberFormat="1" applyFont="1" applyFill="1" applyBorder="1" applyAlignment="1">
      <alignment horizontal="center"/>
    </xf>
    <xf numFmtId="0" fontId="25" fillId="0" borderId="1" xfId="0" applyFont="1" applyFill="1" applyBorder="1" applyAlignment="1">
      <alignment horizontal="center"/>
    </xf>
    <xf numFmtId="0" fontId="27" fillId="0" borderId="1" xfId="0" applyFont="1" applyFill="1" applyBorder="1" applyAlignment="1">
      <alignment horizontal="center"/>
    </xf>
    <xf numFmtId="0" fontId="31" fillId="0" borderId="1" xfId="0" applyFont="1" applyFill="1" applyBorder="1" applyAlignment="1">
      <alignment horizontal="center"/>
    </xf>
    <xf numFmtId="0" fontId="18" fillId="0" borderId="2" xfId="0" applyFont="1" applyFill="1" applyBorder="1" applyAlignment="1">
      <alignment horizontal="center" vertical="top"/>
    </xf>
    <xf numFmtId="49" fontId="27" fillId="0" borderId="4" xfId="0" applyNumberFormat="1" applyFont="1" applyFill="1" applyBorder="1" applyAlignment="1">
      <alignment horizontal="center" vertical="center"/>
    </xf>
    <xf numFmtId="49" fontId="26" fillId="0" borderId="5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13" fillId="0" borderId="1" xfId="0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vertical="top" wrapText="1"/>
    </xf>
    <xf numFmtId="0" fontId="20" fillId="0" borderId="0" xfId="0" applyFont="1" applyFill="1" applyAlignment="1">
      <alignment horizontal="left" vertical="top" wrapText="1"/>
    </xf>
    <xf numFmtId="0" fontId="20" fillId="0" borderId="2" xfId="0" applyFont="1" applyFill="1" applyBorder="1" applyAlignment="1">
      <alignment horizontal="center" vertical="top" wrapText="1"/>
    </xf>
    <xf numFmtId="0" fontId="20" fillId="0" borderId="2" xfId="0" applyFont="1" applyFill="1" applyBorder="1" applyAlignment="1">
      <alignment horizontal="center" vertical="center" wrapText="1"/>
    </xf>
    <xf numFmtId="14" fontId="27" fillId="0" borderId="3" xfId="0" applyNumberFormat="1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0" fontId="27" fillId="0" borderId="1" xfId="0" quotePrefix="1" applyNumberFormat="1" applyFont="1" applyFill="1" applyBorder="1" applyAlignment="1">
      <alignment horizontal="center"/>
    </xf>
    <xf numFmtId="0" fontId="27" fillId="0" borderId="1" xfId="0" applyFont="1" applyFill="1" applyBorder="1" applyAlignment="1">
      <alignment horizontal="center" wrapText="1"/>
    </xf>
    <xf numFmtId="0" fontId="27" fillId="0" borderId="3" xfId="0" applyFont="1" applyFill="1" applyBorder="1" applyAlignment="1">
      <alignment horizontal="center" wrapText="1"/>
    </xf>
    <xf numFmtId="0" fontId="15" fillId="0" borderId="4" xfId="0" applyFont="1" applyFill="1" applyBorder="1" applyAlignment="1">
      <alignment horizontal="center" vertical="center" wrapText="1"/>
    </xf>
    <xf numFmtId="0" fontId="15" fillId="0" borderId="5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0" borderId="15" xfId="0" applyFont="1" applyFill="1" applyBorder="1" applyAlignment="1">
      <alignment horizontal="center" vertical="center" wrapText="1"/>
    </xf>
    <xf numFmtId="0" fontId="15" fillId="0" borderId="8" xfId="0" applyFont="1" applyFill="1" applyBorder="1" applyAlignment="1">
      <alignment horizontal="center" vertical="center" wrapText="1"/>
    </xf>
    <xf numFmtId="0" fontId="15" fillId="0" borderId="6" xfId="0" applyFont="1" applyFill="1" applyBorder="1" applyAlignment="1">
      <alignment horizontal="center" vertical="center" wrapText="1"/>
    </xf>
    <xf numFmtId="0" fontId="15" fillId="0" borderId="7" xfId="0" applyFont="1" applyFill="1" applyBorder="1" applyAlignment="1">
      <alignment horizontal="center" vertical="center" wrapText="1"/>
    </xf>
    <xf numFmtId="0" fontId="15" fillId="0" borderId="10" xfId="0" applyFont="1" applyFill="1" applyBorder="1" applyAlignment="1">
      <alignment horizontal="center" vertical="center" wrapText="1"/>
    </xf>
    <xf numFmtId="0" fontId="15" fillId="0" borderId="11" xfId="0" applyFont="1" applyFill="1" applyBorder="1" applyAlignment="1">
      <alignment horizontal="center" vertical="center" wrapText="1"/>
    </xf>
    <xf numFmtId="0" fontId="15" fillId="0" borderId="12" xfId="0" applyFont="1" applyFill="1" applyBorder="1" applyAlignment="1">
      <alignment horizontal="center" vertical="center" wrapText="1"/>
    </xf>
    <xf numFmtId="0" fontId="15" fillId="0" borderId="13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wrapText="1"/>
    </xf>
    <xf numFmtId="0" fontId="4" fillId="0" borderId="9" xfId="0" applyFont="1" applyFill="1" applyBorder="1" applyAlignment="1">
      <alignment vertical="center" wrapText="1"/>
    </xf>
    <xf numFmtId="0" fontId="4" fillId="0" borderId="8" xfId="0" applyFont="1" applyFill="1" applyBorder="1" applyAlignment="1">
      <alignment vertical="center"/>
    </xf>
    <xf numFmtId="0" fontId="2" fillId="0" borderId="14" xfId="0" applyFont="1" applyFill="1" applyBorder="1" applyAlignment="1">
      <alignment horizontal="left" vertical="top"/>
    </xf>
    <xf numFmtId="0" fontId="2" fillId="0" borderId="15" xfId="0" applyFont="1" applyFill="1" applyBorder="1"/>
    <xf numFmtId="0" fontId="12" fillId="0" borderId="1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</cellXfs>
  <cellStyles count="2">
    <cellStyle name="Обычный" xfId="0" builtinId="0"/>
    <cellStyle name="Числа-таблица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pageSetUpPr fitToPage="1"/>
  </sheetPr>
  <dimension ref="A1:W50"/>
  <sheetViews>
    <sheetView tabSelected="1" topLeftCell="A19" zoomScale="120" zoomScaleNormal="120" zoomScaleSheetLayoutView="100" workbookViewId="0">
      <selection activeCell="F30" sqref="F30"/>
    </sheetView>
  </sheetViews>
  <sheetFormatPr defaultColWidth="9.140625" defaultRowHeight="12.75" x14ac:dyDescent="0.25"/>
  <cols>
    <col min="1" max="1" width="7.7109375" style="6" customWidth="1"/>
    <col min="2" max="2" width="6" style="6" customWidth="1"/>
    <col min="3" max="3" width="7.85546875" style="6" customWidth="1"/>
    <col min="4" max="4" width="11.85546875" style="6" customWidth="1"/>
    <col min="5" max="6" width="13.7109375" style="6" customWidth="1"/>
    <col min="7" max="7" width="8.7109375" style="6" customWidth="1"/>
    <col min="8" max="11" width="7.28515625" style="6" customWidth="1"/>
    <col min="12" max="12" width="11.5703125" style="6" customWidth="1"/>
    <col min="13" max="14" width="9.7109375" style="6" customWidth="1"/>
    <col min="15" max="15" width="10.140625" style="6" customWidth="1"/>
    <col min="16" max="17" width="9.7109375" style="6" customWidth="1"/>
    <col min="18" max="18" width="12.7109375" style="6" customWidth="1"/>
    <col min="19" max="19" width="9.140625" style="6" hidden="1" customWidth="1"/>
    <col min="20" max="20" width="10.140625" style="6" hidden="1" customWidth="1"/>
    <col min="21" max="21" width="10.5703125" style="6" hidden="1" customWidth="1"/>
    <col min="22" max="22" width="0" style="6" hidden="1" customWidth="1"/>
    <col min="23" max="16384" width="9.140625" style="6"/>
  </cols>
  <sheetData>
    <row r="1" spans="1:21" s="1" customFormat="1" x14ac:dyDescent="0.2">
      <c r="A1" s="18"/>
      <c r="B1" s="18"/>
      <c r="C1" s="18"/>
      <c r="D1" s="18"/>
      <c r="E1" s="18"/>
      <c r="F1" s="18"/>
      <c r="G1" s="18"/>
      <c r="H1" s="18"/>
      <c r="I1" s="18"/>
      <c r="J1" s="19" t="s">
        <v>67</v>
      </c>
      <c r="K1" s="18"/>
      <c r="L1" s="18"/>
      <c r="M1" s="18"/>
      <c r="N1" s="18"/>
      <c r="O1" s="18"/>
      <c r="P1" s="18"/>
      <c r="Q1" s="18"/>
      <c r="R1" s="18"/>
      <c r="S1" s="58" t="s">
        <v>62</v>
      </c>
      <c r="T1" s="58"/>
      <c r="U1" s="58"/>
    </row>
    <row r="2" spans="1:21" s="1" customFormat="1" ht="12.75" customHeight="1" x14ac:dyDescent="0.25">
      <c r="A2" s="20"/>
      <c r="B2" s="18"/>
      <c r="C2" s="18"/>
      <c r="D2" s="18"/>
      <c r="E2" s="18"/>
      <c r="F2" s="18"/>
      <c r="G2" s="18"/>
      <c r="H2" s="18"/>
      <c r="I2" s="18"/>
      <c r="J2" s="19" t="s">
        <v>0</v>
      </c>
      <c r="K2" s="18"/>
      <c r="L2" s="18"/>
      <c r="M2" s="18"/>
      <c r="N2" s="18"/>
      <c r="O2" s="18"/>
      <c r="P2" s="18"/>
      <c r="Q2" s="18"/>
      <c r="R2" s="21"/>
    </row>
    <row r="3" spans="1:21" s="14" customFormat="1" ht="16.5" x14ac:dyDescent="0.3">
      <c r="A3" s="22"/>
      <c r="B3" s="22"/>
      <c r="C3" s="22"/>
      <c r="D3" s="22"/>
      <c r="E3" s="22"/>
      <c r="F3" s="23" t="s">
        <v>1</v>
      </c>
      <c r="G3" s="170"/>
      <c r="H3" s="171"/>
      <c r="I3" s="171"/>
      <c r="J3" s="24" t="s">
        <v>2</v>
      </c>
      <c r="K3" s="172"/>
      <c r="L3" s="173"/>
      <c r="M3" s="25"/>
      <c r="N3" s="26"/>
      <c r="O3" s="22"/>
      <c r="P3" s="22"/>
      <c r="Q3" s="22"/>
      <c r="R3" s="22"/>
    </row>
    <row r="4" spans="1:21" s="2" customFormat="1" ht="9.9499999999999993" customHeight="1" x14ac:dyDescent="0.3">
      <c r="A4" s="27"/>
      <c r="B4" s="27"/>
      <c r="C4" s="27"/>
      <c r="D4" s="27"/>
      <c r="E4" s="27"/>
      <c r="F4" s="27"/>
      <c r="G4" s="28"/>
      <c r="H4" s="29" t="s">
        <v>3</v>
      </c>
      <c r="I4" s="27"/>
      <c r="J4" s="27"/>
      <c r="K4" s="27"/>
      <c r="L4" s="30" t="s">
        <v>4</v>
      </c>
      <c r="M4" s="27"/>
      <c r="N4" s="27"/>
      <c r="O4" s="27"/>
      <c r="P4" s="27"/>
      <c r="Q4" s="27"/>
      <c r="R4" s="27"/>
      <c r="S4" s="59" t="s">
        <v>65</v>
      </c>
    </row>
    <row r="5" spans="1:21" s="3" customFormat="1" ht="13.5" x14ac:dyDescent="0.25">
      <c r="A5" s="31"/>
      <c r="B5" s="31"/>
      <c r="C5" s="31"/>
      <c r="D5" s="31"/>
      <c r="E5" s="31"/>
      <c r="F5" s="31"/>
      <c r="G5" s="32" t="s">
        <v>5</v>
      </c>
      <c r="H5" s="174"/>
      <c r="I5" s="175"/>
      <c r="J5" s="175"/>
      <c r="K5" s="175"/>
      <c r="L5" s="175"/>
      <c r="M5" s="31"/>
      <c r="N5" s="31"/>
      <c r="O5" s="31"/>
      <c r="P5" s="31"/>
      <c r="Q5" s="31"/>
      <c r="R5" s="31"/>
      <c r="S5" s="60">
        <v>1</v>
      </c>
    </row>
    <row r="6" spans="1:21" s="4" customFormat="1" ht="9.9499999999999993" customHeight="1" x14ac:dyDescent="0.3">
      <c r="A6" s="33"/>
      <c r="B6" s="33"/>
      <c r="C6" s="33"/>
      <c r="D6" s="33"/>
      <c r="E6" s="33"/>
      <c r="F6" s="33"/>
      <c r="G6" s="33"/>
      <c r="H6" s="169" t="s">
        <v>6</v>
      </c>
      <c r="I6" s="176"/>
      <c r="J6" s="176"/>
      <c r="K6" s="176"/>
      <c r="L6" s="176"/>
      <c r="M6" s="33"/>
      <c r="N6" s="33"/>
      <c r="O6" s="33"/>
      <c r="P6" s="33"/>
      <c r="Q6" s="33"/>
      <c r="R6" s="33"/>
      <c r="S6" s="60">
        <v>0</v>
      </c>
    </row>
    <row r="7" spans="1:21" s="3" customFormat="1" ht="14.45" customHeight="1" x14ac:dyDescent="0.25">
      <c r="G7" s="32" t="s">
        <v>97</v>
      </c>
      <c r="H7" s="167"/>
      <c r="I7" s="167"/>
      <c r="J7" s="167"/>
      <c r="K7" s="167"/>
      <c r="L7" s="167"/>
      <c r="S7" s="60">
        <v>4</v>
      </c>
    </row>
    <row r="8" spans="1:21" s="12" customFormat="1" ht="10.5" customHeight="1" x14ac:dyDescent="0.25">
      <c r="S8" s="60"/>
      <c r="T8" s="60"/>
      <c r="U8" s="60"/>
    </row>
    <row r="9" spans="1:21" s="3" customFormat="1" ht="15" x14ac:dyDescent="0.25">
      <c r="A9" s="31"/>
      <c r="B9" s="17" t="s">
        <v>64</v>
      </c>
      <c r="C9" s="177"/>
      <c r="D9" s="178"/>
      <c r="E9" s="31"/>
      <c r="F9" s="174"/>
      <c r="G9" s="174"/>
      <c r="H9" s="174"/>
      <c r="I9" s="34"/>
      <c r="J9" s="31"/>
      <c r="K9" s="31"/>
      <c r="L9" s="168"/>
      <c r="M9" s="168"/>
      <c r="N9" s="168"/>
      <c r="O9" s="168"/>
      <c r="P9" s="34"/>
      <c r="Q9" s="31"/>
      <c r="R9" s="31"/>
      <c r="S9" s="60" t="s">
        <v>75</v>
      </c>
      <c r="T9" s="60" t="s">
        <v>70</v>
      </c>
      <c r="U9" s="60" t="str">
        <f>CONCATENATE(T9," куб.м")</f>
        <v>{Vмм,м3} куб.м</v>
      </c>
    </row>
    <row r="10" spans="1:21" s="3" customFormat="1" ht="11.25" customHeight="1" x14ac:dyDescent="0.25">
      <c r="A10" s="35"/>
      <c r="B10" s="35"/>
      <c r="C10" s="57"/>
      <c r="D10" s="35"/>
      <c r="E10" s="35"/>
      <c r="F10" s="169" t="s">
        <v>7</v>
      </c>
      <c r="G10" s="169"/>
      <c r="H10" s="169"/>
      <c r="I10" s="35"/>
      <c r="J10" s="35"/>
      <c r="K10" s="35"/>
      <c r="L10" s="169" t="s">
        <v>99</v>
      </c>
      <c r="M10" s="169"/>
      <c r="N10" s="169" t="s">
        <v>98</v>
      </c>
      <c r="O10" s="169"/>
      <c r="P10" s="35"/>
      <c r="Q10" s="35"/>
      <c r="R10" s="35"/>
      <c r="S10" s="60"/>
    </row>
    <row r="11" spans="1:21" s="3" customFormat="1" ht="18" customHeight="1" x14ac:dyDescent="0.25">
      <c r="A11" s="31"/>
      <c r="B11" s="31"/>
      <c r="C11" s="31"/>
      <c r="D11" s="31"/>
      <c r="E11" s="31"/>
      <c r="F11" s="36" t="s">
        <v>8</v>
      </c>
      <c r="G11" s="186"/>
      <c r="H11" s="186"/>
      <c r="I11" s="186"/>
      <c r="J11" s="31"/>
      <c r="K11" s="39"/>
      <c r="L11" s="31"/>
      <c r="M11" s="31"/>
      <c r="N11" s="31"/>
      <c r="O11" s="31"/>
      <c r="P11" s="31"/>
      <c r="Q11" s="37"/>
      <c r="R11" s="38"/>
      <c r="S11" s="60"/>
    </row>
    <row r="12" spans="1:21" s="5" customFormat="1" ht="14.25" customHeight="1" x14ac:dyDescent="0.25">
      <c r="A12" s="31"/>
      <c r="B12" s="31"/>
      <c r="C12" s="31"/>
      <c r="D12" s="31"/>
      <c r="E12" s="31"/>
      <c r="F12" s="36" t="s">
        <v>9</v>
      </c>
      <c r="G12" s="187"/>
      <c r="H12" s="187"/>
      <c r="I12" s="187"/>
      <c r="J12" s="39"/>
      <c r="K12" s="31"/>
      <c r="L12" s="188"/>
      <c r="M12" s="188"/>
      <c r="N12" s="188"/>
      <c r="O12" s="188"/>
      <c r="P12" s="37"/>
      <c r="Q12" s="31"/>
      <c r="R12" s="31"/>
    </row>
    <row r="13" spans="1:21" s="5" customFormat="1" ht="15" x14ac:dyDescent="0.25">
      <c r="A13" s="31"/>
      <c r="B13" s="31"/>
      <c r="C13" s="31"/>
      <c r="D13" s="31"/>
      <c r="E13" s="31"/>
      <c r="F13" s="31"/>
      <c r="G13" s="40"/>
      <c r="H13" s="137" t="s">
        <v>10</v>
      </c>
      <c r="I13" s="45"/>
      <c r="J13" s="39"/>
      <c r="K13" s="31"/>
      <c r="L13" s="169" t="s">
        <v>11</v>
      </c>
      <c r="M13" s="169"/>
      <c r="N13" s="169"/>
      <c r="O13" s="169"/>
      <c r="P13" s="37"/>
      <c r="Q13" s="41"/>
      <c r="R13" s="28"/>
    </row>
    <row r="14" spans="1:21" s="3" customFormat="1" ht="15" x14ac:dyDescent="0.25">
      <c r="A14" s="42"/>
      <c r="B14" s="43"/>
      <c r="C14" s="43"/>
      <c r="D14" s="43"/>
      <c r="E14" s="43"/>
      <c r="F14" s="36" t="s">
        <v>12</v>
      </c>
      <c r="G14" s="188"/>
      <c r="H14" s="188"/>
      <c r="I14" s="188"/>
      <c r="J14" s="188"/>
      <c r="K14" s="188"/>
      <c r="L14" s="188"/>
      <c r="M14" s="188"/>
      <c r="N14" s="188"/>
      <c r="O14" s="188"/>
      <c r="P14" s="61"/>
      <c r="Q14" s="61"/>
      <c r="R14" s="44"/>
    </row>
    <row r="15" spans="1:21" s="5" customFormat="1" ht="14.45" customHeight="1" x14ac:dyDescent="0.25">
      <c r="A15" s="43"/>
      <c r="B15" s="43"/>
      <c r="C15" s="43"/>
      <c r="D15" s="43"/>
      <c r="E15" s="43"/>
      <c r="F15" s="36" t="s">
        <v>13</v>
      </c>
      <c r="G15" s="189"/>
      <c r="H15" s="189"/>
      <c r="I15" s="189"/>
      <c r="J15" s="189"/>
      <c r="K15" s="189"/>
      <c r="L15" s="189"/>
      <c r="M15" s="189"/>
      <c r="N15" s="189"/>
      <c r="O15" s="189"/>
      <c r="P15" s="62"/>
      <c r="Q15" s="62"/>
      <c r="R15" s="62"/>
    </row>
    <row r="16" spans="1:21" s="5" customFormat="1" ht="14.45" customHeight="1" x14ac:dyDescent="0.25">
      <c r="A16" s="31"/>
      <c r="B16" s="31"/>
      <c r="C16" s="31"/>
      <c r="D16" s="31"/>
      <c r="E16" s="31"/>
      <c r="F16" s="36" t="s">
        <v>14</v>
      </c>
      <c r="G16" s="165"/>
      <c r="H16" s="165"/>
      <c r="I16" s="165"/>
      <c r="J16" s="39"/>
      <c r="K16" s="31"/>
      <c r="L16" s="31"/>
      <c r="M16" s="36" t="s">
        <v>17</v>
      </c>
      <c r="N16" s="185"/>
      <c r="O16" s="185"/>
      <c r="P16" s="31"/>
      <c r="Q16" s="45"/>
      <c r="R16" s="31"/>
    </row>
    <row r="17" spans="1:23" ht="18" customHeight="1" x14ac:dyDescent="0.25">
      <c r="A17" s="43"/>
      <c r="B17" s="43"/>
      <c r="C17" s="43"/>
      <c r="D17" s="43"/>
      <c r="E17" s="43"/>
      <c r="F17" s="36" t="s">
        <v>15</v>
      </c>
      <c r="G17" s="165"/>
      <c r="H17" s="165"/>
      <c r="I17" s="165"/>
      <c r="J17" s="45"/>
      <c r="K17" s="43"/>
      <c r="L17" s="43"/>
      <c r="M17" s="43"/>
      <c r="N17" s="43"/>
      <c r="O17" s="43"/>
      <c r="P17" s="43"/>
      <c r="Q17" s="43"/>
      <c r="R17" s="37"/>
    </row>
    <row r="18" spans="1:23" ht="16.5" x14ac:dyDescent="0.3">
      <c r="A18" s="43"/>
      <c r="B18" s="43"/>
      <c r="C18" s="43"/>
      <c r="D18" s="43"/>
      <c r="E18" s="43"/>
      <c r="F18" s="36" t="s">
        <v>16</v>
      </c>
      <c r="G18" s="165"/>
      <c r="H18" s="165"/>
      <c r="I18" s="165"/>
      <c r="J18" s="45"/>
      <c r="K18" s="43"/>
      <c r="L18" s="43"/>
      <c r="M18" s="36" t="s">
        <v>18</v>
      </c>
      <c r="N18" s="166"/>
      <c r="O18" s="166"/>
      <c r="P18" s="43"/>
      <c r="Q18" s="45"/>
      <c r="R18" s="37"/>
    </row>
    <row r="19" spans="1:23" ht="12.75" customHeight="1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7"/>
      <c r="K19" s="46"/>
      <c r="L19" s="46"/>
      <c r="M19" s="46"/>
      <c r="N19" s="46"/>
      <c r="O19" s="46"/>
      <c r="P19" s="46"/>
      <c r="Q19" s="46"/>
      <c r="R19" s="46"/>
      <c r="S19" s="123" t="s">
        <v>86</v>
      </c>
    </row>
    <row r="20" spans="1:23" s="7" customFormat="1" ht="23.45" customHeight="1" x14ac:dyDescent="0.25">
      <c r="A20" s="46" t="s">
        <v>68</v>
      </c>
      <c r="B20" s="210" t="s">
        <v>19</v>
      </c>
      <c r="C20" s="210"/>
      <c r="D20" s="210"/>
      <c r="E20" s="210"/>
      <c r="F20" s="210"/>
      <c r="G20" s="210"/>
      <c r="H20" s="210"/>
      <c r="I20" s="210"/>
      <c r="J20" s="210"/>
      <c r="K20" s="210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</row>
    <row r="21" spans="1:23" s="7" customFormat="1" ht="26.25" customHeight="1" x14ac:dyDescent="0.25">
      <c r="A21" s="193" t="s">
        <v>20</v>
      </c>
      <c r="B21" s="194"/>
      <c r="C21" s="194"/>
      <c r="D21" s="194"/>
      <c r="E21" s="194"/>
      <c r="F21" s="195"/>
      <c r="G21" s="155"/>
      <c r="H21" s="156"/>
      <c r="I21" s="120" t="s">
        <v>21</v>
      </c>
      <c r="J21" s="157"/>
      <c r="K21" s="157"/>
      <c r="L21" s="158"/>
      <c r="M21" s="121" t="s">
        <v>22</v>
      </c>
      <c r="N21" s="122"/>
      <c r="O21" s="198" t="s">
        <v>92</v>
      </c>
      <c r="P21" s="199"/>
      <c r="Q21" s="198" t="s">
        <v>85</v>
      </c>
      <c r="R21" s="199"/>
      <c r="S21" s="159"/>
      <c r="W21" s="204" t="s">
        <v>100</v>
      </c>
    </row>
    <row r="22" spans="1:23" s="7" customFormat="1" ht="12.75" customHeight="1" x14ac:dyDescent="0.25">
      <c r="A22" s="197" t="s">
        <v>23</v>
      </c>
      <c r="B22" s="190" t="s">
        <v>24</v>
      </c>
      <c r="C22" s="192"/>
      <c r="D22" s="192"/>
      <c r="E22" s="192"/>
      <c r="F22" s="191"/>
      <c r="G22" s="197" t="s">
        <v>25</v>
      </c>
      <c r="H22" s="197" t="s">
        <v>26</v>
      </c>
      <c r="I22" s="197" t="s">
        <v>27</v>
      </c>
      <c r="J22" s="197" t="s">
        <v>28</v>
      </c>
      <c r="K22" s="197" t="s">
        <v>29</v>
      </c>
      <c r="L22" s="197" t="s">
        <v>30</v>
      </c>
      <c r="M22" s="197" t="s">
        <v>87</v>
      </c>
      <c r="N22" s="197" t="s">
        <v>31</v>
      </c>
      <c r="O22" s="200"/>
      <c r="P22" s="201"/>
      <c r="Q22" s="202"/>
      <c r="R22" s="203"/>
      <c r="S22" s="119">
        <v>17</v>
      </c>
      <c r="T22" s="60"/>
      <c r="U22" s="60"/>
      <c r="W22" s="204"/>
    </row>
    <row r="23" spans="1:23" s="8" customFormat="1" ht="12.75" customHeight="1" x14ac:dyDescent="0.25">
      <c r="A23" s="196"/>
      <c r="B23" s="190" t="s">
        <v>32</v>
      </c>
      <c r="C23" s="191"/>
      <c r="D23" s="159" t="s">
        <v>33</v>
      </c>
      <c r="E23" s="159" t="s">
        <v>88</v>
      </c>
      <c r="F23" s="159" t="s">
        <v>34</v>
      </c>
      <c r="G23" s="196"/>
      <c r="H23" s="196"/>
      <c r="I23" s="196"/>
      <c r="J23" s="196"/>
      <c r="K23" s="196"/>
      <c r="L23" s="196"/>
      <c r="M23" s="196"/>
      <c r="N23" s="196"/>
      <c r="O23" s="133">
        <v>0.1</v>
      </c>
      <c r="P23" s="121">
        <v>1</v>
      </c>
      <c r="Q23" s="200"/>
      <c r="R23" s="201"/>
      <c r="S23" s="70" t="s">
        <v>38</v>
      </c>
      <c r="T23" s="64">
        <v>1500</v>
      </c>
      <c r="U23" s="60"/>
      <c r="W23" s="204"/>
    </row>
    <row r="24" spans="1:23" s="9" customFormat="1" ht="12.75" customHeight="1" x14ac:dyDescent="0.25">
      <c r="A24" s="133">
        <v>1</v>
      </c>
      <c r="B24" s="190">
        <v>2</v>
      </c>
      <c r="C24" s="191"/>
      <c r="D24" s="133">
        <v>3</v>
      </c>
      <c r="E24" s="133">
        <v>4</v>
      </c>
      <c r="F24" s="133">
        <v>5</v>
      </c>
      <c r="G24" s="133">
        <v>6</v>
      </c>
      <c r="H24" s="133">
        <v>7</v>
      </c>
      <c r="I24" s="133">
        <v>8</v>
      </c>
      <c r="J24" s="133">
        <v>9</v>
      </c>
      <c r="K24" s="133">
        <v>10</v>
      </c>
      <c r="L24" s="133">
        <v>11</v>
      </c>
      <c r="M24" s="133">
        <v>12</v>
      </c>
      <c r="N24" s="133">
        <v>13</v>
      </c>
      <c r="O24" s="133">
        <v>14</v>
      </c>
      <c r="P24" s="133">
        <v>15</v>
      </c>
      <c r="Q24" s="190">
        <v>16</v>
      </c>
      <c r="R24" s="191"/>
      <c r="S24" s="75"/>
      <c r="T24" s="65" t="s">
        <v>76</v>
      </c>
      <c r="U24" s="60"/>
      <c r="W24" s="205">
        <v>17</v>
      </c>
    </row>
    <row r="25" spans="1:23" s="11" customFormat="1" ht="27" x14ac:dyDescent="0.25">
      <c r="A25" s="70" t="s">
        <v>35</v>
      </c>
      <c r="B25" s="160"/>
      <c r="C25" s="162"/>
      <c r="D25" s="70" t="s">
        <v>36</v>
      </c>
      <c r="E25" s="70" t="s">
        <v>36</v>
      </c>
      <c r="F25" s="70" t="s">
        <v>36</v>
      </c>
      <c r="G25" s="124" t="s">
        <v>72</v>
      </c>
      <c r="H25" s="71">
        <f>N16</f>
        <v>0</v>
      </c>
      <c r="I25" s="70" t="s">
        <v>36</v>
      </c>
      <c r="J25" s="70">
        <v>1057</v>
      </c>
      <c r="K25" s="70">
        <v>1280</v>
      </c>
      <c r="L25" s="70">
        <v>1280</v>
      </c>
      <c r="M25" s="70">
        <f>N25+280</f>
        <v>2578</v>
      </c>
      <c r="N25" s="70">
        <v>2298</v>
      </c>
      <c r="O25" s="72">
        <v>38</v>
      </c>
      <c r="P25" s="72">
        <v>3.8</v>
      </c>
      <c r="Q25" s="73" t="s">
        <v>37</v>
      </c>
      <c r="R25" s="74">
        <v>0</v>
      </c>
      <c r="S25" s="49"/>
      <c r="T25" s="64"/>
      <c r="U25" s="60" t="s">
        <v>77</v>
      </c>
      <c r="W25" s="206"/>
    </row>
    <row r="26" spans="1:23" s="10" customFormat="1" ht="9.9499999999999993" customHeight="1" x14ac:dyDescent="0.25">
      <c r="A26" s="75"/>
      <c r="B26" s="161"/>
      <c r="C26" s="163"/>
      <c r="D26" s="75"/>
      <c r="E26" s="75"/>
      <c r="F26" s="75"/>
      <c r="G26" s="125"/>
      <c r="H26" s="75"/>
      <c r="I26" s="75"/>
      <c r="J26" s="75"/>
      <c r="K26" s="75"/>
      <c r="L26" s="75"/>
      <c r="M26" s="76">
        <v>1.73</v>
      </c>
      <c r="N26" s="76">
        <v>1.36</v>
      </c>
      <c r="O26" s="77"/>
      <c r="P26" s="77"/>
      <c r="Q26" s="78" t="s">
        <v>39</v>
      </c>
      <c r="R26" s="79">
        <v>0</v>
      </c>
      <c r="W26" s="207"/>
    </row>
    <row r="27" spans="1:23" ht="14.25" customHeight="1" x14ac:dyDescent="0.25">
      <c r="A27" s="48"/>
      <c r="B27" s="48"/>
      <c r="C27" s="164"/>
      <c r="D27" s="48"/>
      <c r="E27" s="48"/>
      <c r="F27" s="48"/>
      <c r="G27" s="69"/>
      <c r="H27" s="49"/>
      <c r="I27" s="48"/>
      <c r="J27" s="48"/>
      <c r="K27" s="48"/>
      <c r="L27" s="48"/>
      <c r="M27" s="50"/>
      <c r="N27" s="50"/>
      <c r="O27" s="80"/>
      <c r="P27" s="81"/>
      <c r="Q27" s="82" t="s">
        <v>63</v>
      </c>
      <c r="R27" s="83">
        <f>N16</f>
        <v>0</v>
      </c>
      <c r="W27" s="208"/>
    </row>
    <row r="28" spans="1:23" ht="38.25" customHeight="1" x14ac:dyDescent="0.25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</row>
    <row r="29" spans="1:23" ht="12" customHeight="1" x14ac:dyDescent="0.25">
      <c r="A29" s="46" t="s">
        <v>69</v>
      </c>
      <c r="B29" s="209" t="s">
        <v>89</v>
      </c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63" t="s">
        <v>62</v>
      </c>
      <c r="T29" s="66"/>
      <c r="U29" s="66"/>
    </row>
    <row r="30" spans="1:23" s="5" customFormat="1" ht="21" customHeight="1" x14ac:dyDescent="0.3">
      <c r="A30" s="190" t="s">
        <v>40</v>
      </c>
      <c r="B30" s="191"/>
      <c r="C30" s="133" t="s">
        <v>102</v>
      </c>
      <c r="D30" s="134" t="s">
        <v>101</v>
      </c>
      <c r="E30" s="133" t="s">
        <v>41</v>
      </c>
      <c r="F30" s="134" t="s">
        <v>42</v>
      </c>
      <c r="G30" s="133"/>
      <c r="H30" s="134"/>
      <c r="I30" s="134"/>
      <c r="J30" s="133" t="s">
        <v>43</v>
      </c>
      <c r="K30" s="134"/>
      <c r="L30" s="133" t="s">
        <v>44</v>
      </c>
      <c r="M30" s="133" t="s">
        <v>45</v>
      </c>
      <c r="N30" s="133" t="s">
        <v>46</v>
      </c>
      <c r="O30" s="134"/>
      <c r="P30" s="134"/>
      <c r="Q30" s="133" t="s">
        <v>47</v>
      </c>
      <c r="R30" s="52" t="s">
        <v>48</v>
      </c>
      <c r="S30" s="65" t="s">
        <v>78</v>
      </c>
      <c r="T30" s="65" t="s">
        <v>79</v>
      </c>
      <c r="U30" s="67" t="s">
        <v>80</v>
      </c>
    </row>
    <row r="31" spans="1:23" s="5" customFormat="1" ht="12.75" customHeight="1" x14ac:dyDescent="0.3">
      <c r="A31" s="190">
        <v>1</v>
      </c>
      <c r="B31" s="191"/>
      <c r="C31" s="133">
        <v>2</v>
      </c>
      <c r="D31" s="134">
        <v>3</v>
      </c>
      <c r="E31" s="133">
        <v>3</v>
      </c>
      <c r="F31" s="134"/>
      <c r="G31" s="133">
        <v>4</v>
      </c>
      <c r="H31" s="134"/>
      <c r="I31" s="134"/>
      <c r="J31" s="133">
        <v>5</v>
      </c>
      <c r="K31" s="134"/>
      <c r="L31" s="133">
        <v>6</v>
      </c>
      <c r="M31" s="133">
        <v>7</v>
      </c>
      <c r="N31" s="133">
        <v>8</v>
      </c>
      <c r="O31" s="134"/>
      <c r="P31" s="134"/>
      <c r="Q31" s="123">
        <v>9</v>
      </c>
      <c r="R31" s="123">
        <v>10</v>
      </c>
      <c r="S31" s="65" t="s">
        <v>81</v>
      </c>
      <c r="T31" s="65" t="s">
        <v>82</v>
      </c>
      <c r="U31" s="67" t="s">
        <v>80</v>
      </c>
    </row>
    <row r="32" spans="1:23" s="5" customFormat="1" ht="12.75" customHeight="1" x14ac:dyDescent="0.25">
      <c r="A32" s="140">
        <f>G12</f>
        <v>0</v>
      </c>
      <c r="B32" s="141"/>
      <c r="C32" s="142" t="s">
        <v>74</v>
      </c>
      <c r="D32" s="143"/>
      <c r="E32" s="144" t="s">
        <v>94</v>
      </c>
      <c r="F32" s="145"/>
      <c r="G32" s="144" t="s">
        <v>95</v>
      </c>
      <c r="H32" s="150"/>
      <c r="I32" s="145"/>
      <c r="J32" s="144" t="s">
        <v>49</v>
      </c>
      <c r="K32" s="145"/>
      <c r="L32" s="84" t="s">
        <v>91</v>
      </c>
      <c r="M32" s="85">
        <v>265.18</v>
      </c>
      <c r="N32" s="153" t="s">
        <v>50</v>
      </c>
      <c r="O32" s="154"/>
      <c r="P32" s="86" t="str">
        <f>IF(VALUE(U30)=0,
"0",
TEXT(VALUE(U30)/1000,"0,00E+00")
)</f>
        <v>0</v>
      </c>
      <c r="Q32" s="127">
        <f>(P35)*N25*1000</f>
        <v>609400000</v>
      </c>
      <c r="R32" s="124" t="s">
        <v>52</v>
      </c>
      <c r="S32" s="65">
        <v>0</v>
      </c>
      <c r="T32" s="65" t="s">
        <v>80</v>
      </c>
      <c r="U32" s="67" t="s">
        <v>80</v>
      </c>
    </row>
    <row r="33" spans="1:21" s="5" customFormat="1" ht="12.75" customHeight="1" x14ac:dyDescent="0.25">
      <c r="A33" s="129"/>
      <c r="B33" s="130"/>
      <c r="C33" s="129">
        <v>20412204442</v>
      </c>
      <c r="D33" s="130"/>
      <c r="E33" s="146"/>
      <c r="F33" s="147"/>
      <c r="G33" s="146"/>
      <c r="H33" s="151"/>
      <c r="I33" s="147"/>
      <c r="J33" s="146"/>
      <c r="K33" s="147"/>
      <c r="L33" s="87"/>
      <c r="M33" s="88"/>
      <c r="N33" s="131" t="s">
        <v>53</v>
      </c>
      <c r="O33" s="132"/>
      <c r="P33" s="89" t="str">
        <f>IF(VALUE(U31)=0,
"0",
VALUE(U31)/1000
)</f>
        <v>0</v>
      </c>
      <c r="Q33" s="127"/>
      <c r="R33" s="125"/>
      <c r="S33" s="65">
        <v>0</v>
      </c>
      <c r="T33" s="65" t="s">
        <v>80</v>
      </c>
      <c r="U33" s="67" t="s">
        <v>83</v>
      </c>
    </row>
    <row r="34" spans="1:21" s="5" customFormat="1" ht="12.75" customHeight="1" x14ac:dyDescent="0.25">
      <c r="A34" s="129" t="s">
        <v>93</v>
      </c>
      <c r="B34" s="130"/>
      <c r="C34" s="90"/>
      <c r="D34" s="91"/>
      <c r="E34" s="146"/>
      <c r="F34" s="147"/>
      <c r="G34" s="146"/>
      <c r="H34" s="151"/>
      <c r="I34" s="147"/>
      <c r="J34" s="146"/>
      <c r="K34" s="147"/>
      <c r="L34" s="84" t="str">
        <f t="shared" ref="L34:L41" si="0">IF(VALUE(T32)=0,
"",
S32
)</f>
        <v/>
      </c>
      <c r="M34" s="92" t="str">
        <f>IF(VALUE(T32)=0,
"",
VALUE(T32)/1000
)</f>
        <v/>
      </c>
      <c r="N34" s="131" t="s">
        <v>54</v>
      </c>
      <c r="O34" s="139"/>
      <c r="P34" s="89" t="str">
        <f>IF(VALUE(U32)=0,
"0",
VALUE(U32)/1000
)</f>
        <v>0</v>
      </c>
      <c r="Q34" s="127"/>
      <c r="R34" s="125"/>
      <c r="S34" s="65">
        <v>0</v>
      </c>
      <c r="T34" s="65" t="s">
        <v>80</v>
      </c>
      <c r="U34" s="67" t="s">
        <v>84</v>
      </c>
    </row>
    <row r="35" spans="1:21" s="5" customFormat="1" ht="12.75" customHeight="1" x14ac:dyDescent="0.25">
      <c r="A35" s="129" t="s">
        <v>96</v>
      </c>
      <c r="B35" s="130"/>
      <c r="C35" s="90"/>
      <c r="D35" s="91"/>
      <c r="E35" s="146"/>
      <c r="F35" s="147"/>
      <c r="G35" s="146"/>
      <c r="H35" s="151"/>
      <c r="I35" s="147"/>
      <c r="J35" s="146"/>
      <c r="K35" s="147"/>
      <c r="L35" s="84" t="str">
        <f t="shared" si="0"/>
        <v/>
      </c>
      <c r="M35" s="92" t="str">
        <f>IF(VALUE(T33)=0,
"",
VALUE(T33)/1000
)</f>
        <v/>
      </c>
      <c r="N35" s="131" t="s">
        <v>55</v>
      </c>
      <c r="O35" s="139"/>
      <c r="P35" s="93">
        <f>M32</f>
        <v>265.18</v>
      </c>
      <c r="Q35" s="127"/>
      <c r="R35" s="125"/>
      <c r="S35" s="65">
        <v>0</v>
      </c>
      <c r="T35" s="65" t="s">
        <v>80</v>
      </c>
      <c r="U35" s="66"/>
    </row>
    <row r="36" spans="1:21" s="3" customFormat="1" ht="12.75" customHeight="1" x14ac:dyDescent="0.25">
      <c r="A36" s="94"/>
      <c r="B36" s="95"/>
      <c r="C36" s="90"/>
      <c r="D36" s="91"/>
      <c r="E36" s="146"/>
      <c r="F36" s="147"/>
      <c r="G36" s="146"/>
      <c r="H36" s="151"/>
      <c r="I36" s="147"/>
      <c r="J36" s="146"/>
      <c r="K36" s="147"/>
      <c r="L36" s="84" t="str">
        <f t="shared" si="0"/>
        <v/>
      </c>
      <c r="M36" s="92" t="str">
        <f>IF(VALUE(T34)=0,
"",
VALUE(T34)/1000
)</f>
        <v/>
      </c>
      <c r="N36" s="131" t="s">
        <v>56</v>
      </c>
      <c r="O36" s="139"/>
      <c r="P36" s="96" t="s">
        <v>51</v>
      </c>
      <c r="Q36" s="127"/>
      <c r="R36" s="125"/>
      <c r="S36" s="65"/>
      <c r="T36" s="65"/>
      <c r="U36" s="66"/>
    </row>
    <row r="37" spans="1:21" s="5" customFormat="1" ht="12.75" customHeight="1" x14ac:dyDescent="0.25">
      <c r="A37" s="90"/>
      <c r="B37" s="91"/>
      <c r="C37" s="90"/>
      <c r="D37" s="91"/>
      <c r="E37" s="146"/>
      <c r="F37" s="147"/>
      <c r="G37" s="146"/>
      <c r="H37" s="151"/>
      <c r="I37" s="147"/>
      <c r="J37" s="146"/>
      <c r="K37" s="147"/>
      <c r="L37" s="84" t="str">
        <f t="shared" si="0"/>
        <v/>
      </c>
      <c r="M37" s="92" t="str">
        <f>IF(VALUE(T35)=0,
"",
VALUE(T35)/1000
)</f>
        <v/>
      </c>
      <c r="N37" s="97"/>
      <c r="O37" s="98"/>
      <c r="P37" s="98"/>
      <c r="Q37" s="127"/>
      <c r="R37" s="125"/>
      <c r="S37" s="65"/>
      <c r="T37" s="65"/>
      <c r="U37" s="66"/>
    </row>
    <row r="38" spans="1:21" s="5" customFormat="1" ht="9.75" customHeight="1" x14ac:dyDescent="0.3">
      <c r="A38" s="99"/>
      <c r="B38" s="100"/>
      <c r="C38" s="99"/>
      <c r="D38" s="100"/>
      <c r="E38" s="146"/>
      <c r="F38" s="147"/>
      <c r="G38" s="146"/>
      <c r="H38" s="151"/>
      <c r="I38" s="147"/>
      <c r="J38" s="146"/>
      <c r="K38" s="147"/>
      <c r="L38" s="84" t="str">
        <f t="shared" si="0"/>
        <v/>
      </c>
      <c r="M38" s="92" t="str">
        <f>IF(VALUE(T36)=0,
"",
VALUE(T36)
)</f>
        <v/>
      </c>
      <c r="N38" s="101"/>
      <c r="O38" s="102"/>
      <c r="P38" s="103"/>
      <c r="Q38" s="128"/>
      <c r="R38" s="125"/>
      <c r="S38" s="65"/>
      <c r="T38" s="65"/>
      <c r="U38" s="66"/>
    </row>
    <row r="39" spans="1:21" s="5" customFormat="1" ht="29.25" customHeight="1" x14ac:dyDescent="0.3">
      <c r="A39" s="90"/>
      <c r="B39" s="91"/>
      <c r="C39" s="90"/>
      <c r="D39" s="91"/>
      <c r="E39" s="146"/>
      <c r="F39" s="147"/>
      <c r="G39" s="146"/>
      <c r="H39" s="151"/>
      <c r="I39" s="147"/>
      <c r="J39" s="146"/>
      <c r="K39" s="147"/>
      <c r="L39" s="84" t="str">
        <f t="shared" si="0"/>
        <v/>
      </c>
      <c r="M39" s="92"/>
      <c r="N39" s="104"/>
      <c r="O39" s="105"/>
      <c r="P39" s="105"/>
      <c r="Q39" s="128"/>
      <c r="R39" s="125"/>
      <c r="S39" s="65"/>
      <c r="T39" s="65"/>
      <c r="U39" s="66" t="s">
        <v>73</v>
      </c>
    </row>
    <row r="40" spans="1:21" s="13" customFormat="1" ht="10.5" customHeight="1" x14ac:dyDescent="0.3">
      <c r="A40" s="90"/>
      <c r="B40" s="91"/>
      <c r="C40" s="90"/>
      <c r="D40" s="91"/>
      <c r="E40" s="146"/>
      <c r="F40" s="147"/>
      <c r="G40" s="146"/>
      <c r="H40" s="151"/>
      <c r="I40" s="147"/>
      <c r="J40" s="146"/>
      <c r="K40" s="147"/>
      <c r="L40" s="106" t="str">
        <f t="shared" si="0"/>
        <v/>
      </c>
      <c r="M40" s="107" t="str">
        <f>IF(VALUE(T38)=0,
"",
VALUE(T38)
)</f>
        <v/>
      </c>
      <c r="N40" s="108"/>
      <c r="O40" s="109"/>
      <c r="P40" s="109"/>
      <c r="Q40" s="128"/>
      <c r="R40" s="125"/>
    </row>
    <row r="41" spans="1:21" s="13" customFormat="1" ht="10.5" customHeight="1" x14ac:dyDescent="0.25">
      <c r="A41" s="110"/>
      <c r="B41" s="111"/>
      <c r="C41" s="110"/>
      <c r="D41" s="111"/>
      <c r="E41" s="148"/>
      <c r="F41" s="149"/>
      <c r="G41" s="148"/>
      <c r="H41" s="152"/>
      <c r="I41" s="149"/>
      <c r="J41" s="148"/>
      <c r="K41" s="152"/>
      <c r="L41" s="112" t="str">
        <f t="shared" si="0"/>
        <v/>
      </c>
      <c r="M41" s="113"/>
      <c r="N41" s="114" t="s">
        <v>71</v>
      </c>
      <c r="O41" s="115">
        <f>R27</f>
        <v>0</v>
      </c>
      <c r="P41" s="116"/>
      <c r="Q41" s="117"/>
      <c r="R41" s="126"/>
    </row>
    <row r="42" spans="1:21" s="15" customFormat="1" ht="9.75" customHeight="1" x14ac:dyDescent="0.25">
      <c r="A42" s="53" t="s">
        <v>66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</row>
    <row r="43" spans="1:21" s="5" customFormat="1" ht="42" customHeight="1" x14ac:dyDescent="0.25">
      <c r="A43" s="54" t="s">
        <v>90</v>
      </c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</row>
    <row r="44" spans="1:21" s="4" customFormat="1" ht="9.1999999999999993" customHeight="1" x14ac:dyDescent="0.3">
      <c r="A44" s="1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</row>
    <row r="45" spans="1:21" s="16" customFormat="1" ht="14.45" customHeight="1" x14ac:dyDescent="0.3">
      <c r="A45" s="31"/>
      <c r="B45" s="56"/>
      <c r="C45" s="5"/>
      <c r="D45" s="56"/>
      <c r="E45" s="36" t="s">
        <v>57</v>
      </c>
      <c r="F45" s="135"/>
      <c r="G45" s="135"/>
      <c r="H45" s="135"/>
      <c r="I45" s="118"/>
      <c r="J45" s="136"/>
      <c r="K45" s="136"/>
      <c r="L45" s="136"/>
      <c r="M45" s="136"/>
      <c r="N45" s="136"/>
      <c r="O45" s="136"/>
      <c r="P45" s="43"/>
      <c r="Q45" s="138"/>
      <c r="R45" s="138"/>
    </row>
    <row r="46" spans="1:21" s="5" customFormat="1" ht="28.5" customHeight="1" x14ac:dyDescent="0.25">
      <c r="A46" s="43"/>
      <c r="B46" s="56"/>
      <c r="D46" s="43"/>
      <c r="E46" s="36" t="s">
        <v>61</v>
      </c>
      <c r="F46" s="179"/>
      <c r="G46" s="179"/>
      <c r="H46" s="179"/>
      <c r="I46" s="43"/>
      <c r="J46" s="180"/>
      <c r="K46" s="180"/>
      <c r="L46" s="180"/>
      <c r="M46" s="180"/>
      <c r="N46" s="180"/>
      <c r="O46" s="180"/>
      <c r="P46" s="43"/>
      <c r="Q46" s="181"/>
      <c r="R46" s="181"/>
    </row>
    <row r="47" spans="1:21" s="4" customFormat="1" ht="9.1999999999999993" customHeight="1" x14ac:dyDescent="0.3">
      <c r="A47" s="182"/>
      <c r="B47" s="182"/>
      <c r="C47" s="182"/>
      <c r="D47" s="182"/>
      <c r="F47" s="183" t="s">
        <v>58</v>
      </c>
      <c r="G47" s="183"/>
      <c r="H47" s="183"/>
      <c r="I47" s="33"/>
      <c r="J47" s="184" t="s">
        <v>59</v>
      </c>
      <c r="K47" s="184"/>
      <c r="L47" s="184"/>
      <c r="M47" s="184"/>
      <c r="N47" s="184"/>
      <c r="O47" s="184"/>
      <c r="P47" s="33"/>
      <c r="Q47" s="183" t="s">
        <v>60</v>
      </c>
      <c r="R47" s="183"/>
    </row>
    <row r="48" spans="1:21" ht="15" x14ac:dyDescent="0.25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" x14ac:dyDescent="0.25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" x14ac:dyDescent="0.25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</sheetData>
  <mergeCells count="51">
    <mergeCell ref="A30:B30"/>
    <mergeCell ref="A31:B31"/>
    <mergeCell ref="Q21:R23"/>
    <mergeCell ref="Q24:R24"/>
    <mergeCell ref="W21:W23"/>
    <mergeCell ref="B29:R29"/>
    <mergeCell ref="B20:W20"/>
    <mergeCell ref="G15:O15"/>
    <mergeCell ref="B23:C23"/>
    <mergeCell ref="B24:C24"/>
    <mergeCell ref="B22:F22"/>
    <mergeCell ref="A21:F21"/>
    <mergeCell ref="A22:A23"/>
    <mergeCell ref="G22:G23"/>
    <mergeCell ref="H22:H23"/>
    <mergeCell ref="I22:I23"/>
    <mergeCell ref="J22:J23"/>
    <mergeCell ref="K22:K23"/>
    <mergeCell ref="L22:L23"/>
    <mergeCell ref="M22:M23"/>
    <mergeCell ref="N22:N23"/>
    <mergeCell ref="O21:P22"/>
    <mergeCell ref="F46:H46"/>
    <mergeCell ref="J46:O46"/>
    <mergeCell ref="Q46:R46"/>
    <mergeCell ref="A47:D47"/>
    <mergeCell ref="F47:H47"/>
    <mergeCell ref="Q47:R47"/>
    <mergeCell ref="J47:O47"/>
    <mergeCell ref="G3:I3"/>
    <mergeCell ref="K3:L3"/>
    <mergeCell ref="H5:L5"/>
    <mergeCell ref="H6:L6"/>
    <mergeCell ref="C9:D9"/>
    <mergeCell ref="F9:H9"/>
    <mergeCell ref="G17:I17"/>
    <mergeCell ref="G18:I18"/>
    <mergeCell ref="N18:O18"/>
    <mergeCell ref="H7:L7"/>
    <mergeCell ref="L9:M9"/>
    <mergeCell ref="N9:O9"/>
    <mergeCell ref="N10:O10"/>
    <mergeCell ref="L10:M10"/>
    <mergeCell ref="F10:H10"/>
    <mergeCell ref="G16:I16"/>
    <mergeCell ref="N16:O16"/>
    <mergeCell ref="G11:I11"/>
    <mergeCell ref="G12:I12"/>
    <mergeCell ref="L13:O13"/>
    <mergeCell ref="L12:O12"/>
    <mergeCell ref="G14:O14"/>
  </mergeCells>
  <pageMargins left="0.51181102362204722" right="0.31496062992125984" top="0.15748031496062992" bottom="0.15748031496062992" header="0.31496062992125984" footer="0.11811023622047245"/>
  <pageSetup paperSize="9" scale="83" orientation="landscape" r:id="rId1"/>
  <headerFooter>
    <oddHeader>&amp;R&amp;"Arial Narrow,обычный"&amp;8Стр.: &amp;P из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Паспорт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2024-10-15T07:30:33Z</cp:lastPrinted>
  <dcterms:created xsi:type="dcterms:W3CDTF">2018-10-18T18:44:58Z</dcterms:created>
  <dcterms:modified xsi:type="dcterms:W3CDTF">2026-03-16T07:43:06Z</dcterms:modified>
</cp:coreProperties>
</file>